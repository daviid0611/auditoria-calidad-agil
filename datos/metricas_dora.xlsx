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liegue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por_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%"/>
  </numFmts>
  <fonts count="4">
    <font>
      <name val="Calibri"/>
      <family val="2"/>
      <color theme="1"/>
      <sz val="11"/>
      <scheme val="minor"/>
    </font>
    <font>
      <name val="Arial"/>
      <color rgb="000000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2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7" fontId="1" fillId="0" borderId="0" pivotButton="0" quotePrefix="0" xfId="0"/>
    <xf numFmtId="9" fontId="3" fillId="2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Equipo</author>
  </authors>
  <commentList>
    <comment ref="B3" authorId="0" shapeId="0">
      <text>
        <t>Periodo indicado en datos/LEEME.md.</t>
      </text>
    </comment>
    <comment ref="D10" authorId="0" shapeId="0">
      <text>
        <t>Valores de control del enunciado del taller.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9" customWidth="1" min="4" max="4"/>
    <col width="19" customWidth="1" min="5" max="5"/>
    <col width="12" customWidth="1" min="6" max="6"/>
    <col width="16" customWidth="1" min="7" max="7"/>
    <col width="12" customWidth="1" min="8" max="8"/>
    <col width="9" customWidth="1" min="9" max="9"/>
  </cols>
  <sheetData>
    <row r="1">
      <c r="A1" t="inlineStr">
        <is>
          <t>id</t>
        </is>
      </c>
      <c r="B1" t="inlineStr">
        <is>
          <t>fecha_commit</t>
        </is>
      </c>
      <c r="C1" t="inlineStr">
        <is>
          <t>fecha_despliegue</t>
        </is>
      </c>
      <c r="D1" t="inlineStr">
        <is>
          <t>exitoso</t>
        </is>
      </c>
      <c r="E1" t="inlineStr">
        <is>
          <t>horas_recuperacion</t>
        </is>
      </c>
      <c r="F1" t="inlineStr">
        <is>
          <t>lead_time_h</t>
        </is>
      </c>
      <c r="G1" t="inlineStr">
        <is>
          <t>dia_despliegue</t>
        </is>
      </c>
      <c r="H1" t="inlineStr">
        <is>
          <t>dia_commit</t>
        </is>
      </c>
      <c r="I1" t="inlineStr">
        <is>
          <t>fallido</t>
        </is>
      </c>
    </row>
    <row r="2">
      <c r="A2" s="1" t="n">
        <v>1</v>
      </c>
      <c r="B2" s="2" t="n">
        <v>46265.99513888889</v>
      </c>
      <c r="C2" s="2" t="n">
        <v>46266.57847222222</v>
      </c>
      <c r="D2" s="1" t="inlineStr">
        <is>
          <t>si</t>
        </is>
      </c>
      <c r="E2" s="1" t="n">
        <v>0</v>
      </c>
      <c r="F2" s="3">
        <f>ROUND((C2-B2)*24,2)</f>
        <v/>
      </c>
      <c r="G2" s="3">
        <f>CHOOSE(WEEKDAY(C2,2),"lunes","martes","miércoles","jueves","viernes","sábado","domingo")</f>
        <v/>
      </c>
      <c r="H2" s="3">
        <f>CHOOSE(WEEKDAY(B2,2),"lunes","martes","miércoles","jueves","viernes","sábado","domingo")</f>
        <v/>
      </c>
      <c r="I2" s="3">
        <f>IF(D2="no",1,0)</f>
        <v/>
      </c>
    </row>
    <row r="3">
      <c r="A3" s="1" t="n">
        <v>2</v>
      </c>
      <c r="B3" s="2" t="n">
        <v>46267.86388888889</v>
      </c>
      <c r="C3" s="2" t="n">
        <v>46268.11388888889</v>
      </c>
      <c r="D3" s="1" t="inlineStr">
        <is>
          <t>si</t>
        </is>
      </c>
      <c r="E3" s="1" t="n">
        <v>0</v>
      </c>
      <c r="F3" s="3">
        <f>ROUND((C3-B3)*24,2)</f>
        <v/>
      </c>
      <c r="G3" s="3">
        <f>CHOOSE(WEEKDAY(C3,2),"lunes","martes","miércoles","jueves","viernes","sábado","domingo")</f>
        <v/>
      </c>
      <c r="H3" s="3">
        <f>CHOOSE(WEEKDAY(B3,2),"lunes","martes","miércoles","jueves","viernes","sábado","domingo")</f>
        <v/>
      </c>
      <c r="I3" s="3">
        <f>IF(D3="no",1,0)</f>
        <v/>
      </c>
    </row>
    <row r="4">
      <c r="A4" s="1" t="n">
        <v>3</v>
      </c>
      <c r="B4" s="2" t="n">
        <v>46269.03611111111</v>
      </c>
      <c r="C4" s="2" t="n">
        <v>46269.45277777778</v>
      </c>
      <c r="D4" s="1" t="inlineStr">
        <is>
          <t>no</t>
        </is>
      </c>
      <c r="E4" s="1" t="n">
        <v>5</v>
      </c>
      <c r="F4" s="3">
        <f>ROUND((C4-B4)*24,2)</f>
        <v/>
      </c>
      <c r="G4" s="3">
        <f>CHOOSE(WEEKDAY(C4,2),"lunes","martes","miércoles","jueves","viernes","sábado","domingo")</f>
        <v/>
      </c>
      <c r="H4" s="3">
        <f>CHOOSE(WEEKDAY(B4,2),"lunes","martes","miércoles","jueves","viernes","sábado","domingo")</f>
        <v/>
      </c>
      <c r="I4" s="3">
        <f>IF(D4="no",1,0)</f>
        <v/>
      </c>
    </row>
    <row r="5">
      <c r="A5" s="1" t="n">
        <v>4</v>
      </c>
      <c r="B5" s="2" t="n">
        <v>46270.37430555555</v>
      </c>
      <c r="C5" s="2" t="n">
        <v>46271.20763888889</v>
      </c>
      <c r="D5" s="1" t="inlineStr">
        <is>
          <t>si</t>
        </is>
      </c>
      <c r="E5" s="1" t="n">
        <v>0</v>
      </c>
      <c r="F5" s="3">
        <f>ROUND((C5-B5)*24,2)</f>
        <v/>
      </c>
      <c r="G5" s="3">
        <f>CHOOSE(WEEKDAY(C5,2),"lunes","martes","miércoles","jueves","viernes","sábado","domingo")</f>
        <v/>
      </c>
      <c r="H5" s="3">
        <f>CHOOSE(WEEKDAY(B5,2),"lunes","martes","miércoles","jueves","viernes","sábado","domingo")</f>
        <v/>
      </c>
      <c r="I5" s="3">
        <f>IF(D5="no",1,0)</f>
        <v/>
      </c>
    </row>
    <row r="6">
      <c r="A6" s="1" t="n">
        <v>5</v>
      </c>
      <c r="B6" s="2" t="n">
        <v>46270.43472222222</v>
      </c>
      <c r="C6" s="2" t="n">
        <v>46272.43472222222</v>
      </c>
      <c r="D6" s="1" t="inlineStr">
        <is>
          <t>si</t>
        </is>
      </c>
      <c r="E6" s="1" t="n">
        <v>0</v>
      </c>
      <c r="F6" s="3">
        <f>ROUND((C6-B6)*24,2)</f>
        <v/>
      </c>
      <c r="G6" s="3">
        <f>CHOOSE(WEEKDAY(C6,2),"lunes","martes","miércoles","jueves","viernes","sábado","domingo")</f>
        <v/>
      </c>
      <c r="H6" s="3">
        <f>CHOOSE(WEEKDAY(B6,2),"lunes","martes","miércoles","jueves","viernes","sábado","domingo")</f>
        <v/>
      </c>
      <c r="I6" s="3">
        <f>IF(D6="no",1,0)</f>
        <v/>
      </c>
    </row>
    <row r="7">
      <c r="A7" s="1" t="n">
        <v>6</v>
      </c>
      <c r="B7" s="2" t="n">
        <v>46273.29236111111</v>
      </c>
      <c r="C7" s="2" t="n">
        <v>46274.12569444445</v>
      </c>
      <c r="D7" s="1" t="inlineStr">
        <is>
          <t>si</t>
        </is>
      </c>
      <c r="E7" s="1" t="n">
        <v>0</v>
      </c>
      <c r="F7" s="3">
        <f>ROUND((C7-B7)*24,2)</f>
        <v/>
      </c>
      <c r="G7" s="3">
        <f>CHOOSE(WEEKDAY(C7,2),"lunes","martes","miércoles","jueves","viernes","sábado","domingo")</f>
        <v/>
      </c>
      <c r="H7" s="3">
        <f>CHOOSE(WEEKDAY(B7,2),"lunes","martes","miércoles","jueves","viernes","sábado","domingo")</f>
        <v/>
      </c>
      <c r="I7" s="3">
        <f>IF(D7="no",1,0)</f>
        <v/>
      </c>
    </row>
    <row r="8">
      <c r="A8" s="1" t="n">
        <v>7</v>
      </c>
      <c r="B8" s="2" t="n">
        <v>46273.46180555555</v>
      </c>
      <c r="C8" s="2" t="n">
        <v>46275.46180555555</v>
      </c>
      <c r="D8" s="1" t="inlineStr">
        <is>
          <t>si</t>
        </is>
      </c>
      <c r="E8" s="1" t="n">
        <v>0</v>
      </c>
      <c r="F8" s="3">
        <f>ROUND((C8-B8)*24,2)</f>
        <v/>
      </c>
      <c r="G8" s="3">
        <f>CHOOSE(WEEKDAY(C8,2),"lunes","martes","miércoles","jueves","viernes","sábado","domingo")</f>
        <v/>
      </c>
      <c r="H8" s="3">
        <f>CHOOSE(WEEKDAY(B8,2),"lunes","martes","miércoles","jueves","viernes","sábado","domingo")</f>
        <v/>
      </c>
      <c r="I8" s="3">
        <f>IF(D8="no",1,0)</f>
        <v/>
      </c>
    </row>
    <row r="9">
      <c r="A9" s="1" t="n">
        <v>8</v>
      </c>
      <c r="B9" s="2" t="n">
        <v>46276.52916666667</v>
      </c>
      <c r="C9" s="2" t="n">
        <v>46276.94583333333</v>
      </c>
      <c r="D9" s="1" t="inlineStr">
        <is>
          <t>no</t>
        </is>
      </c>
      <c r="E9" s="1" t="n">
        <v>3</v>
      </c>
      <c r="F9" s="3">
        <f>ROUND((C9-B9)*24,2)</f>
        <v/>
      </c>
      <c r="G9" s="3">
        <f>CHOOSE(WEEKDAY(C9,2),"lunes","martes","miércoles","jueves","viernes","sábado","domingo")</f>
        <v/>
      </c>
      <c r="H9" s="3">
        <f>CHOOSE(WEEKDAY(B9,2),"lunes","martes","miércoles","jueves","viernes","sábado","domingo")</f>
        <v/>
      </c>
      <c r="I9" s="3">
        <f>IF(D9="no",1,0)</f>
        <v/>
      </c>
    </row>
    <row r="10">
      <c r="A10" s="1" t="n">
        <v>9</v>
      </c>
      <c r="B10" s="2" t="n">
        <v>46278.48194444444</v>
      </c>
      <c r="C10" s="2" t="n">
        <v>46278.73194444444</v>
      </c>
      <c r="D10" s="1" t="inlineStr">
        <is>
          <t>si</t>
        </is>
      </c>
      <c r="E10" s="1" t="n">
        <v>0</v>
      </c>
      <c r="F10" s="3">
        <f>ROUND((C10-B10)*24,2)</f>
        <v/>
      </c>
      <c r="G10" s="3">
        <f>CHOOSE(WEEKDAY(C10,2),"lunes","martes","miércoles","jueves","viernes","sábado","domingo")</f>
        <v/>
      </c>
      <c r="H10" s="3">
        <f>CHOOSE(WEEKDAY(B10,2),"lunes","martes","miércoles","jueves","viernes","sábado","domingo")</f>
        <v/>
      </c>
      <c r="I10" s="3">
        <f>IF(D10="no",1,0)</f>
        <v/>
      </c>
    </row>
    <row r="11">
      <c r="A11" s="1" t="n">
        <v>10</v>
      </c>
      <c r="B11" s="2" t="n">
        <v>46278.20486111111</v>
      </c>
      <c r="C11" s="2" t="n">
        <v>46280.20486111111</v>
      </c>
      <c r="D11" s="1" t="inlineStr">
        <is>
          <t>si</t>
        </is>
      </c>
      <c r="E11" s="1" t="n">
        <v>0</v>
      </c>
      <c r="F11" s="3">
        <f>ROUND((C11-B11)*24,2)</f>
        <v/>
      </c>
      <c r="G11" s="3">
        <f>CHOOSE(WEEKDAY(C11,2),"lunes","martes","miércoles","jueves","viernes","sábado","domingo")</f>
        <v/>
      </c>
      <c r="H11" s="3">
        <f>CHOOSE(WEEKDAY(B11,2),"lunes","martes","miércoles","jueves","viernes","sábado","domingo")</f>
        <v/>
      </c>
      <c r="I11" s="3">
        <f>IF(D11="no",1,0)</f>
        <v/>
      </c>
    </row>
    <row r="12">
      <c r="A12" s="1" t="n">
        <v>11</v>
      </c>
      <c r="B12" s="2" t="n">
        <v>46280.60763888889</v>
      </c>
      <c r="C12" s="2" t="n">
        <v>46281.44097222222</v>
      </c>
      <c r="D12" s="1" t="inlineStr">
        <is>
          <t>si</t>
        </is>
      </c>
      <c r="E12" s="1" t="n">
        <v>0</v>
      </c>
      <c r="F12" s="3">
        <f>ROUND((C12-B12)*24,2)</f>
        <v/>
      </c>
      <c r="G12" s="3">
        <f>CHOOSE(WEEKDAY(C12,2),"lunes","martes","miércoles","jueves","viernes","sábado","domingo")</f>
        <v/>
      </c>
      <c r="H12" s="3">
        <f>CHOOSE(WEEKDAY(B12,2),"lunes","martes","miércoles","jueves","viernes","sábado","domingo")</f>
        <v/>
      </c>
      <c r="I12" s="3">
        <f>IF(D12="no",1,0)</f>
        <v/>
      </c>
    </row>
    <row r="13">
      <c r="A13" s="1" t="n">
        <v>12</v>
      </c>
      <c r="B13" s="2" t="n">
        <v>46282.35625</v>
      </c>
      <c r="C13" s="2" t="n">
        <v>46282.93958333333</v>
      </c>
      <c r="D13" s="1" t="inlineStr">
        <is>
          <t>si</t>
        </is>
      </c>
      <c r="E13" s="1" t="n">
        <v>0</v>
      </c>
      <c r="F13" s="3">
        <f>ROUND((C13-B13)*24,2)</f>
        <v/>
      </c>
      <c r="G13" s="3">
        <f>CHOOSE(WEEKDAY(C13,2),"lunes","martes","miércoles","jueves","viernes","sábado","domingo")</f>
        <v/>
      </c>
      <c r="H13" s="3">
        <f>CHOOSE(WEEKDAY(B13,2),"lunes","martes","miércoles","jueves","viernes","sábado","domingo")</f>
        <v/>
      </c>
      <c r="I13" s="3">
        <f>IF(D13="no",1,0)</f>
        <v/>
      </c>
    </row>
    <row r="14">
      <c r="A14" s="1" t="n">
        <v>13</v>
      </c>
      <c r="B14" s="2" t="n">
        <v>46283.97777777778</v>
      </c>
      <c r="C14" s="2" t="n">
        <v>46284.56111111111</v>
      </c>
      <c r="D14" s="1" t="inlineStr">
        <is>
          <t>no</t>
        </is>
      </c>
      <c r="E14" s="1" t="n">
        <v>2</v>
      </c>
      <c r="F14" s="3">
        <f>ROUND((C14-B14)*24,2)</f>
        <v/>
      </c>
      <c r="G14" s="3">
        <f>CHOOSE(WEEKDAY(C14,2),"lunes","martes","miércoles","jueves","viernes","sábado","domingo")</f>
        <v/>
      </c>
      <c r="H14" s="3">
        <f>CHOOSE(WEEKDAY(B14,2),"lunes","martes","miércoles","jueves","viernes","sábado","domingo")</f>
        <v/>
      </c>
      <c r="I14" s="3">
        <f>IF(D14="no",1,0)</f>
        <v/>
      </c>
    </row>
    <row r="15">
      <c r="A15" s="1" t="n">
        <v>14</v>
      </c>
      <c r="B15" s="2" t="n">
        <v>46285.61875</v>
      </c>
      <c r="C15" s="2" t="n">
        <v>46286.20208333333</v>
      </c>
      <c r="D15" s="1" t="inlineStr">
        <is>
          <t>si</t>
        </is>
      </c>
      <c r="E15" s="1" t="n">
        <v>0</v>
      </c>
      <c r="F15" s="3">
        <f>ROUND((C15-B15)*24,2)</f>
        <v/>
      </c>
      <c r="G15" s="3">
        <f>CHOOSE(WEEKDAY(C15,2),"lunes","martes","miércoles","jueves","viernes","sábado","domingo")</f>
        <v/>
      </c>
      <c r="H15" s="3">
        <f>CHOOSE(WEEKDAY(B15,2),"lunes","martes","miércoles","jueves","viernes","sábado","domingo")</f>
        <v/>
      </c>
      <c r="I15" s="3">
        <f>IF(D15="no",1,0)</f>
        <v/>
      </c>
    </row>
    <row r="16">
      <c r="A16" s="1" t="n">
        <v>15</v>
      </c>
      <c r="B16" s="2" t="n">
        <v>46286.63472222222</v>
      </c>
      <c r="C16" s="2" t="n">
        <v>46287.46805555555</v>
      </c>
      <c r="D16" s="1" t="inlineStr">
        <is>
          <t>si</t>
        </is>
      </c>
      <c r="E16" s="1" t="n">
        <v>0</v>
      </c>
      <c r="F16" s="3">
        <f>ROUND((C16-B16)*24,2)</f>
        <v/>
      </c>
      <c r="G16" s="3">
        <f>CHOOSE(WEEKDAY(C16,2),"lunes","martes","miércoles","jueves","viernes","sábado","domingo")</f>
        <v/>
      </c>
      <c r="H16" s="3">
        <f>CHOOSE(WEEKDAY(B16,2),"lunes","martes","miércoles","jueves","viernes","sábado","domingo")</f>
        <v/>
      </c>
      <c r="I16" s="3">
        <f>IF(D16="no",1,0)</f>
        <v/>
      </c>
    </row>
    <row r="17">
      <c r="A17" s="1" t="n">
        <v>16</v>
      </c>
      <c r="B17" s="2" t="n">
        <v>46288.68611111111</v>
      </c>
      <c r="C17" s="2" t="n">
        <v>46289.10277777778</v>
      </c>
      <c r="D17" s="1" t="inlineStr">
        <is>
          <t>si</t>
        </is>
      </c>
      <c r="E17" s="1" t="n">
        <v>0</v>
      </c>
      <c r="F17" s="3">
        <f>ROUND((C17-B17)*24,2)</f>
        <v/>
      </c>
      <c r="G17" s="3">
        <f>CHOOSE(WEEKDAY(C17,2),"lunes","martes","miércoles","jueves","viernes","sábado","domingo")</f>
        <v/>
      </c>
      <c r="H17" s="3">
        <f>CHOOSE(WEEKDAY(B17,2),"lunes","martes","miércoles","jueves","viernes","sábado","domingo")</f>
        <v/>
      </c>
      <c r="I17" s="3">
        <f>IF(D17="no",1,0)</f>
        <v/>
      </c>
    </row>
    <row r="18">
      <c r="A18" s="1" t="n">
        <v>17</v>
      </c>
      <c r="B18" s="2" t="n">
        <v>46289.86527777778</v>
      </c>
      <c r="C18" s="2" t="n">
        <v>46290.69861111111</v>
      </c>
      <c r="D18" s="1" t="inlineStr">
        <is>
          <t>no</t>
        </is>
      </c>
      <c r="E18" s="1" t="n">
        <v>8</v>
      </c>
      <c r="F18" s="3">
        <f>ROUND((C18-B18)*24,2)</f>
        <v/>
      </c>
      <c r="G18" s="3">
        <f>CHOOSE(WEEKDAY(C18,2),"lunes","martes","miércoles","jueves","viernes","sábado","domingo")</f>
        <v/>
      </c>
      <c r="H18" s="3">
        <f>CHOOSE(WEEKDAY(B18,2),"lunes","martes","miércoles","jueves","viernes","sábado","domingo")</f>
        <v/>
      </c>
      <c r="I18" s="3">
        <f>IF(D18="no",1,0)</f>
        <v/>
      </c>
    </row>
    <row r="19">
      <c r="A19" s="1" t="n">
        <v>18</v>
      </c>
      <c r="B19" s="2" t="n">
        <v>46290.25625</v>
      </c>
      <c r="C19" s="2" t="n">
        <v>46292.25625</v>
      </c>
      <c r="D19" s="1" t="inlineStr">
        <is>
          <t>si</t>
        </is>
      </c>
      <c r="E19" s="1" t="n">
        <v>0</v>
      </c>
      <c r="F19" s="3">
        <f>ROUND((C19-B19)*24,2)</f>
        <v/>
      </c>
      <c r="G19" s="3">
        <f>CHOOSE(WEEKDAY(C19,2),"lunes","martes","miércoles","jueves","viernes","sábado","domingo")</f>
        <v/>
      </c>
      <c r="H19" s="3">
        <f>CHOOSE(WEEKDAY(B19,2),"lunes","martes","miércoles","jueves","viernes","sábado","domingo")</f>
        <v/>
      </c>
      <c r="I19" s="3">
        <f>IF(D19="no",1,0)</f>
        <v/>
      </c>
    </row>
    <row r="20">
      <c r="A20" s="1" t="n">
        <v>19</v>
      </c>
      <c r="B20" s="2" t="n">
        <v>46291.63819444444</v>
      </c>
      <c r="C20" s="2" t="n">
        <v>46293.80486111111</v>
      </c>
      <c r="D20" s="1" t="inlineStr">
        <is>
          <t>si</t>
        </is>
      </c>
      <c r="E20" s="1" t="n">
        <v>0</v>
      </c>
      <c r="F20" s="3">
        <f>ROUND((C20-B20)*24,2)</f>
        <v/>
      </c>
      <c r="G20" s="3">
        <f>CHOOSE(WEEKDAY(C20,2),"lunes","martes","miércoles","jueves","viernes","sábado","domingo")</f>
        <v/>
      </c>
      <c r="H20" s="3">
        <f>CHOOSE(WEEKDAY(B20,2),"lunes","martes","miércoles","jueves","viernes","sábado","domingo")</f>
        <v/>
      </c>
      <c r="I20" s="3">
        <f>IF(D20="no",1,0)</f>
        <v/>
      </c>
    </row>
    <row r="21">
      <c r="A21" s="1" t="n">
        <v>20</v>
      </c>
      <c r="B21" s="2" t="n">
        <v>46293.04236111111</v>
      </c>
      <c r="C21" s="2" t="n">
        <v>46295.20902777778</v>
      </c>
      <c r="D21" s="1" t="inlineStr">
        <is>
          <t>si</t>
        </is>
      </c>
      <c r="E21" s="1" t="n">
        <v>0</v>
      </c>
      <c r="F21" s="3">
        <f>ROUND((C21-B21)*24,2)</f>
        <v/>
      </c>
      <c r="G21" s="3">
        <f>CHOOSE(WEEKDAY(C21,2),"lunes","martes","miércoles","jueves","viernes","sábado","domingo")</f>
        <v/>
      </c>
      <c r="H21" s="3">
        <f>CHOOSE(WEEKDAY(B21,2),"lunes","martes","miércoles","jueves","viernes","sábado","domingo")</f>
        <v/>
      </c>
      <c r="I21" s="3">
        <f>IF(D21="no",1,0)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6" customWidth="1" min="3" max="3"/>
    <col width="16" customWidth="1" min="4" max="4"/>
    <col width="11" customWidth="1" min="5" max="5"/>
  </cols>
  <sheetData>
    <row r="1">
      <c r="A1" s="4" t="inlineStr">
        <is>
          <t>Métricas DORA (datos/despliegues.csv)</t>
        </is>
      </c>
      <c r="B1" s="3" t="n"/>
      <c r="C1" s="3" t="n"/>
      <c r="D1" s="3" t="n"/>
      <c r="E1" s="3" t="n"/>
    </row>
    <row r="2">
      <c r="A2" s="3" t="n"/>
      <c r="B2" s="3" t="n"/>
      <c r="C2" s="3" t="n"/>
      <c r="D2" s="3" t="n"/>
      <c r="E2" s="3" t="n"/>
    </row>
    <row r="3">
      <c r="A3" s="3" t="inlineStr">
        <is>
          <t>Periodo (días)</t>
        </is>
      </c>
      <c r="B3" s="1" t="n">
        <v>28</v>
      </c>
      <c r="C3" s="3" t="inlineStr">
        <is>
          <t>Dato del enunciado</t>
        </is>
      </c>
      <c r="D3" s="3" t="n"/>
      <c r="E3" s="3" t="n"/>
    </row>
    <row r="4">
      <c r="A4" s="3" t="inlineStr">
        <is>
          <t>Total de despliegues</t>
        </is>
      </c>
      <c r="B4" s="3">
        <f>COUNT(despliegues!$A$2:$A$21)</f>
        <v/>
      </c>
      <c r="C4" s="3" t="inlineStr">
        <is>
          <t>Filas con id</t>
        </is>
      </c>
      <c r="D4" s="3" t="n"/>
      <c r="E4" s="3" t="n"/>
    </row>
    <row r="5">
      <c r="A5" s="3" t="inlineStr">
        <is>
          <t>Despliegues fallidos</t>
        </is>
      </c>
      <c r="B5" s="3">
        <f>COUNTIF(despliegues!$D$2:$D$21,"no")</f>
        <v/>
      </c>
      <c r="C5" s="3" t="inlineStr">
        <is>
          <t>exitoso = no</t>
        </is>
      </c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5" t="inlineStr">
        <is>
          <t>Métrica</t>
        </is>
      </c>
      <c r="B7" s="5" t="inlineStr">
        <is>
          <t>Valor</t>
        </is>
      </c>
      <c r="C7" s="5" t="inlineStr">
        <is>
          <t>Fórmula</t>
        </is>
      </c>
      <c r="D7" s="5" t="inlineStr">
        <is>
          <t>Valor de control</t>
        </is>
      </c>
      <c r="E7" s="5" t="inlineStr">
        <is>
          <t>¿Coincide?</t>
        </is>
      </c>
    </row>
    <row r="8">
      <c r="A8" s="3" t="inlineStr">
        <is>
          <t>Frecuencia de despliegue (por día)</t>
        </is>
      </c>
      <c r="B8" s="6">
        <f>B4/B3</f>
        <v/>
      </c>
      <c r="C8" s="3" t="inlineStr">
        <is>
          <t>total / periodo</t>
        </is>
      </c>
      <c r="D8" s="3" t="n"/>
      <c r="E8" s="3" t="n"/>
    </row>
    <row r="9">
      <c r="A9" s="3" t="inlineStr">
        <is>
          <t>Frecuencia de despliegue (por semana)</t>
        </is>
      </c>
      <c r="B9" s="7">
        <f>B8*7</f>
        <v/>
      </c>
      <c r="C9" s="3" t="inlineStr">
        <is>
          <t>por día × 7</t>
        </is>
      </c>
      <c r="D9" s="3" t="n"/>
      <c r="E9" s="3" t="n"/>
    </row>
    <row r="10">
      <c r="A10" s="3" t="inlineStr">
        <is>
          <t>Lead time de cambios, mediana (h)</t>
        </is>
      </c>
      <c r="B10" s="7">
        <f>MEDIAN(despliegues!$F$2:$F$21)</f>
        <v/>
      </c>
      <c r="C10" s="3" t="inlineStr">
        <is>
          <t>mediana de (despliegue - commit) en horas</t>
        </is>
      </c>
      <c r="D10" s="1" t="n">
        <v>20</v>
      </c>
      <c r="E10" s="3">
        <f>IF(ROUND(B10,6)=ROUND(D10,6),"sí","no")</f>
        <v/>
      </c>
    </row>
    <row r="11">
      <c r="A11" s="3" t="inlineStr">
        <is>
          <t>Tasa de fallo de cambios</t>
        </is>
      </c>
      <c r="B11" s="8">
        <f>B5/B4</f>
        <v/>
      </c>
      <c r="C11" s="3" t="inlineStr">
        <is>
          <t>fallidos / total</t>
        </is>
      </c>
      <c r="D11" s="9" t="n">
        <v>0.2</v>
      </c>
      <c r="E11" s="3">
        <f>IF(ROUND(B11,6)=ROUND(D11,6),"sí","no")</f>
        <v/>
      </c>
    </row>
    <row r="12">
      <c r="A12" s="3" t="inlineStr">
        <is>
          <t>Tiempo de recuperación, promedio (h)</t>
        </is>
      </c>
      <c r="B12" s="7">
        <f>AVERAGEIF(despliegues!$D$2:$D$21,"no",despliegues!$E$2:$E$21)</f>
        <v/>
      </c>
      <c r="C12" s="3" t="inlineStr">
        <is>
          <t>promedio de horas_recuperacion de los fallidos</t>
        </is>
      </c>
      <c r="D12" s="1" t="n">
        <v>4.5</v>
      </c>
      <c r="E12" s="3">
        <f>IF(ROUND(B12,6)=ROUND(D12,6),"sí","no")</f>
        <v/>
      </c>
    </row>
    <row r="13">
      <c r="A13" s="3" t="n"/>
      <c r="B13" s="3" t="n"/>
      <c r="C13" s="3" t="n"/>
      <c r="D13" s="3" t="n"/>
      <c r="E13" s="3" t="n"/>
    </row>
    <row r="14">
      <c r="A14" s="3" t="inlineStr">
        <is>
          <t>Leyenda: azul = dato de entrada; negro = fórmula.</t>
        </is>
      </c>
      <c r="B14" s="3" t="n"/>
      <c r="C14" s="3" t="n"/>
      <c r="D14" s="3" t="n"/>
      <c r="E14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</cols>
  <sheetData>
    <row r="1">
      <c r="A1" s="5" t="inlineStr">
        <is>
          <t>Día del despliegue</t>
        </is>
      </c>
      <c r="B1" s="5" t="inlineStr">
        <is>
          <t>Despliegues</t>
        </is>
      </c>
      <c r="C1" s="5" t="inlineStr">
        <is>
          <t>Fallidos</t>
        </is>
      </c>
      <c r="D1" s="10" t="inlineStr">
        <is>
          <t>Tasa de fallo</t>
        </is>
      </c>
    </row>
    <row r="2">
      <c r="A2" s="3" t="inlineStr">
        <is>
          <t>lunes</t>
        </is>
      </c>
      <c r="B2" s="3">
        <f>COUNTIF(despliegues!$G$2:$G$21,A2)</f>
        <v/>
      </c>
      <c r="C2" s="3">
        <f>COUNTIFS(despliegues!$G$2:$G$21,A2,despliegues!$D$2:$D$21,"no")</f>
        <v/>
      </c>
      <c r="D2" s="11">
        <f>IF(B2=0,0,C2/B2)</f>
        <v/>
      </c>
    </row>
    <row r="3">
      <c r="A3" s="3" t="inlineStr">
        <is>
          <t>martes</t>
        </is>
      </c>
      <c r="B3" s="3">
        <f>COUNTIF(despliegues!$G$2:$G$21,A3)</f>
        <v/>
      </c>
      <c r="C3" s="3">
        <f>COUNTIFS(despliegues!$G$2:$G$21,A3,despliegues!$D$2:$D$21,"no")</f>
        <v/>
      </c>
      <c r="D3" s="11">
        <f>IF(B3=0,0,C3/B3)</f>
        <v/>
      </c>
    </row>
    <row r="4">
      <c r="A4" s="3" t="inlineStr">
        <is>
          <t>miércoles</t>
        </is>
      </c>
      <c r="B4" s="3">
        <f>COUNTIF(despliegues!$G$2:$G$21,A4)</f>
        <v/>
      </c>
      <c r="C4" s="3">
        <f>COUNTIFS(despliegues!$G$2:$G$21,A4,despliegues!$D$2:$D$21,"no")</f>
        <v/>
      </c>
      <c r="D4" s="11">
        <f>IF(B4=0,0,C4/B4)</f>
        <v/>
      </c>
    </row>
    <row r="5">
      <c r="A5" s="3" t="inlineStr">
        <is>
          <t>jueves</t>
        </is>
      </c>
      <c r="B5" s="3">
        <f>COUNTIF(despliegues!$G$2:$G$21,A5)</f>
        <v/>
      </c>
      <c r="C5" s="3">
        <f>COUNTIFS(despliegues!$G$2:$G$21,A5,despliegues!$D$2:$D$21,"no")</f>
        <v/>
      </c>
      <c r="D5" s="11">
        <f>IF(B5=0,0,C5/B5)</f>
        <v/>
      </c>
    </row>
    <row r="6">
      <c r="A6" s="3" t="inlineStr">
        <is>
          <t>viernes</t>
        </is>
      </c>
      <c r="B6" s="3">
        <f>COUNTIF(despliegues!$G$2:$G$21,A6)</f>
        <v/>
      </c>
      <c r="C6" s="3">
        <f>COUNTIFS(despliegues!$G$2:$G$21,A6,despliegues!$D$2:$D$21,"no")</f>
        <v/>
      </c>
      <c r="D6" s="11">
        <f>IF(B6=0,0,C6/B6)</f>
        <v/>
      </c>
    </row>
    <row r="7">
      <c r="A7" s="3" t="inlineStr">
        <is>
          <t>sábado</t>
        </is>
      </c>
      <c r="B7" s="3">
        <f>COUNTIF(despliegues!$G$2:$G$21,A7)</f>
        <v/>
      </c>
      <c r="C7" s="3">
        <f>COUNTIFS(despliegues!$G$2:$G$21,A7,despliegues!$D$2:$D$21,"no")</f>
        <v/>
      </c>
      <c r="D7" s="11">
        <f>IF(B7=0,0,C7/B7)</f>
        <v/>
      </c>
    </row>
    <row r="8">
      <c r="A8" s="3" t="inlineStr">
        <is>
          <t>domingo</t>
        </is>
      </c>
      <c r="B8" s="3">
        <f>COUNTIF(despliegues!$G$2:$G$21,A8)</f>
        <v/>
      </c>
      <c r="C8" s="3">
        <f>COUNTIFS(despliegues!$G$2:$G$21,A8,despliegues!$D$2:$D$21,"no")</f>
        <v/>
      </c>
      <c r="D8" s="11">
        <f>IF(B8=0,0,C8/B8)</f>
        <v/>
      </c>
    </row>
    <row r="9">
      <c r="A9" s="4" t="inlineStr">
        <is>
          <t>Total</t>
        </is>
      </c>
      <c r="B9" s="3">
        <f>SUM(B2:B8)</f>
        <v/>
      </c>
      <c r="C9" s="3">
        <f>SUM(C2:C8)</f>
        <v/>
      </c>
      <c r="D9" s="11">
        <f>IF(B9=0,0,C9/B9)</f>
        <v/>
      </c>
    </row>
    <row r="10">
      <c r="A10" s="3" t="n"/>
      <c r="B10" s="3" t="n"/>
      <c r="C10" s="3" t="n"/>
      <c r="D10" s="11" t="n"/>
    </row>
    <row r="11">
      <c r="A11" s="3" t="inlineStr">
        <is>
          <t>Lunes a jueves (ventana de la política)</t>
        </is>
      </c>
      <c r="B11" s="3">
        <f>SUM(B2:B5)</f>
        <v/>
      </c>
      <c r="C11" s="3">
        <f>SUM(C2:C5)</f>
        <v/>
      </c>
      <c r="D11" s="11">
        <f>IF(B11=0,0,C11/B11)</f>
        <v/>
      </c>
    </row>
    <row r="12">
      <c r="A12" s="3" t="inlineStr">
        <is>
          <t>Viernes a domingo (fuera de la ventana)</t>
        </is>
      </c>
      <c r="B12" s="3">
        <f>SUM(B6:B8)</f>
        <v/>
      </c>
      <c r="C12" s="3">
        <f>SUM(C6:C8)</f>
        <v/>
      </c>
      <c r="D12" s="11">
        <f>IF(B12=0,0,C12/B12)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2026-09-28T19:45:50Z</dcterms:created>
  <dcterms:modified xmlns:dcterms="http://purl.org/dc/terms/" xmlns:xsi="http://www.w3.org/2001/XMLSchema-instance" xsi:type="dcterms:W3CDTF">2026-09-28T19:45:50Z</dcterms:modified>
</cp:coreProperties>
</file>